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Modelos Excel\Algoritmo Genetico\"/>
    </mc:Choice>
  </mc:AlternateContent>
  <xr:revisionPtr revIDLastSave="0" documentId="13_ncr:1_{B3E2C3B6-A135-4FB8-9D2F-9F1340FE1C17}" xr6:coauthVersionLast="45" xr6:coauthVersionMax="45" xr10:uidLastSave="{00000000-0000-0000-0000-000000000000}"/>
  <bookViews>
    <workbookView xWindow="28680" yWindow="-120" windowWidth="24240" windowHeight="13140" xr2:uid="{9EDA648A-9CF9-4DD8-BA7E-1990A9D63003}"/>
  </bookViews>
  <sheets>
    <sheet name="Planilha1" sheetId="1" r:id="rId1"/>
    <sheet name="Planilha2" sheetId="2" r:id="rId2"/>
  </sheets>
  <definedNames>
    <definedName name="_xlnm._FilterDatabase" localSheetId="0" hidden="1">Planilha1!$B$2:$F$22</definedName>
    <definedName name="_xlnm.Print_Area" localSheetId="0">Planilha1!$B$2:$I$22</definedName>
    <definedName name="solver_adj" localSheetId="0" hidden="1">Planilha1!$F$3:$F$22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Planilha1!$F$3:$F$22</definedName>
    <definedName name="solver_lhs2" localSheetId="0" hidden="1">Planilha1!$I$4</definedName>
    <definedName name="solver_lhs3" localSheetId="0" hidden="1">Planilha1!$I$6</definedName>
    <definedName name="solver_lhs4" localSheetId="0" hidden="1">Planilha1!$I$8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Planilha1!$I$8</definedName>
    <definedName name="solver_pre" localSheetId="0" hidden="1">0.000001</definedName>
    <definedName name="solver_rbv" localSheetId="0" hidden="1">1</definedName>
    <definedName name="solver_rel1" localSheetId="0" hidden="1">5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hs1" localSheetId="0" hidden="1">binário</definedName>
    <definedName name="solver_rhs2" localSheetId="0" hidden="1">Planilha1!$I$3</definedName>
    <definedName name="solver_rhs3" localSheetId="0" hidden="1">Planilha1!$I$5</definedName>
    <definedName name="solver_rhs4" localSheetId="0" hidden="1">Planilha1!$I$6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" i="1" l="1"/>
  <c r="I8" i="1"/>
  <c r="I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37CA62-B1F5-45FD-85C5-CF26D2EADF25}" keepAlive="1" name="Consulta - Itens" description="Conexão com a consulta 'Itens' na pasta de trabalho." type="5" refreshedVersion="6" background="1">
    <dbPr connection="Provider=Microsoft.Mashup.OleDb.1;Data Source=$Workbook$;Location=Itens;Extended Properties=&quot;&quot;" command="SELECT * FROM [Itens]"/>
  </connection>
</connections>
</file>

<file path=xl/sharedStrings.xml><?xml version="1.0" encoding="utf-8"?>
<sst xmlns="http://schemas.openxmlformats.org/spreadsheetml/2006/main" count="12" uniqueCount="12">
  <si>
    <t>ID</t>
  </si>
  <si>
    <t>PESO</t>
  </si>
  <si>
    <t>VALOR</t>
  </si>
  <si>
    <t>VOLUME</t>
  </si>
  <si>
    <t>Incluir</t>
  </si>
  <si>
    <t>Volume Maximo</t>
  </si>
  <si>
    <t>Volume Atual</t>
  </si>
  <si>
    <t>Peso Maximo</t>
  </si>
  <si>
    <t>Peso Atual</t>
  </si>
  <si>
    <t>Valor Maximo</t>
  </si>
  <si>
    <t>Valor Atual</t>
  </si>
  <si>
    <t>Restricoes e Resultados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</si>
</sst>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9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6" xfId="0" applyBorder="1" applyProtection="1">
      <protection locked="0"/>
    </xf>
    <xf numFmtId="0" fontId="0" fillId="0" borderId="9" xfId="0" applyBorder="1" applyProtection="1">
      <protection locked="0"/>
    </xf>
    <xf numFmtId="0" fontId="0" fillId="3" borderId="0" xfId="0" applyFill="1"/>
    <xf numFmtId="0" fontId="0" fillId="4" borderId="0" xfId="0" applyFill="1"/>
    <xf numFmtId="0" fontId="0" fillId="3" borderId="5" xfId="0" applyFill="1" applyBorder="1"/>
    <xf numFmtId="164" fontId="0" fillId="3" borderId="6" xfId="1" applyNumberFormat="1" applyFont="1" applyFill="1" applyBorder="1"/>
    <xf numFmtId="44" fontId="0" fillId="3" borderId="6" xfId="2" applyFont="1" applyFill="1" applyBorder="1"/>
    <xf numFmtId="0" fontId="0" fillId="3" borderId="7" xfId="0" applyFill="1" applyBorder="1"/>
    <xf numFmtId="44" fontId="0" fillId="3" borderId="9" xfId="2" applyFont="1" applyFill="1" applyBorder="1"/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Moeda" xfId="2" builtinId="4"/>
    <cellStyle name="Normal" xfId="0" builtinId="0"/>
    <cellStyle name="Vírgula" xfId="1" builtinId="3"/>
  </cellStyles>
  <dxfs count="6"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23</xdr:row>
          <xdr:rowOff>161925</xdr:rowOff>
        </xdr:from>
        <xdr:to>
          <xdr:col>2</xdr:col>
          <xdr:colOff>371475</xdr:colOff>
          <xdr:row>27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itens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23</xdr:row>
          <xdr:rowOff>133350</xdr:rowOff>
        </xdr:from>
        <xdr:to>
          <xdr:col>5</xdr:col>
          <xdr:colOff>581025</xdr:colOff>
          <xdr:row>27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Desfazer filtro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3C61-0136-428D-9781-D1C37261291C}">
  <sheetPr codeName="Planilha1"/>
  <dimension ref="A1:K30"/>
  <sheetViews>
    <sheetView showGridLines="0" tabSelected="1" workbookViewId="0">
      <selection activeCell="D23" sqref="D23"/>
    </sheetView>
  </sheetViews>
  <sheetFormatPr defaultRowHeight="15" x14ac:dyDescent="0.25"/>
  <cols>
    <col min="1" max="1" width="20" style="10" customWidth="1"/>
    <col min="8" max="8" width="15.7109375" customWidth="1"/>
    <col min="9" max="9" width="14.28515625" customWidth="1"/>
    <col min="10" max="10" width="9.140625" customWidth="1"/>
  </cols>
  <sheetData>
    <row r="1" spans="2:11" ht="15.75" thickBot="1" x14ac:dyDescent="0.3">
      <c r="G1" s="10"/>
      <c r="H1" s="10"/>
      <c r="I1" s="10"/>
      <c r="J1" s="10"/>
      <c r="K1" s="10"/>
    </row>
    <row r="2" spans="2:11" x14ac:dyDescent="0.25">
      <c r="B2" s="2" t="s">
        <v>0</v>
      </c>
      <c r="C2" s="3" t="s">
        <v>1</v>
      </c>
      <c r="D2" s="3" t="s">
        <v>2</v>
      </c>
      <c r="E2" s="3" t="s">
        <v>3</v>
      </c>
      <c r="F2" s="4" t="s">
        <v>4</v>
      </c>
      <c r="G2" s="10"/>
      <c r="H2" s="17" t="s">
        <v>11</v>
      </c>
      <c r="I2" s="18"/>
      <c r="J2" s="10"/>
      <c r="K2" s="10"/>
    </row>
    <row r="3" spans="2:11" x14ac:dyDescent="0.25">
      <c r="B3" s="5">
        <v>1</v>
      </c>
      <c r="C3" s="1">
        <v>342</v>
      </c>
      <c r="D3" s="1">
        <v>1136</v>
      </c>
      <c r="E3" s="1">
        <v>32</v>
      </c>
      <c r="F3" s="8">
        <v>0</v>
      </c>
      <c r="G3" s="10"/>
      <c r="H3" s="12" t="s">
        <v>5</v>
      </c>
      <c r="I3" s="13">
        <v>500</v>
      </c>
      <c r="J3" s="10"/>
      <c r="K3" s="10"/>
    </row>
    <row r="4" spans="2:11" x14ac:dyDescent="0.25">
      <c r="B4" s="5">
        <v>2</v>
      </c>
      <c r="C4" s="1">
        <v>305</v>
      </c>
      <c r="D4" s="1">
        <v>5349</v>
      </c>
      <c r="E4" s="1">
        <v>48</v>
      </c>
      <c r="F4" s="8">
        <v>1</v>
      </c>
      <c r="G4" s="10"/>
      <c r="H4" s="12" t="s">
        <v>6</v>
      </c>
      <c r="I4" s="13">
        <f>SUMIFS(E:E,F:F,"=1")</f>
        <v>426</v>
      </c>
      <c r="J4" s="10"/>
      <c r="K4" s="10"/>
    </row>
    <row r="5" spans="2:11" x14ac:dyDescent="0.25">
      <c r="B5" s="5">
        <v>3</v>
      </c>
      <c r="C5" s="1">
        <v>442</v>
      </c>
      <c r="D5" s="1">
        <v>8487</v>
      </c>
      <c r="E5" s="1">
        <v>26</v>
      </c>
      <c r="F5" s="8">
        <v>1</v>
      </c>
      <c r="G5" s="10"/>
      <c r="H5" s="12" t="s">
        <v>7</v>
      </c>
      <c r="I5" s="13">
        <v>4500</v>
      </c>
      <c r="J5" s="10"/>
      <c r="K5" s="10"/>
    </row>
    <row r="6" spans="2:11" x14ac:dyDescent="0.25">
      <c r="B6" s="5">
        <v>4</v>
      </c>
      <c r="C6" s="1">
        <v>944</v>
      </c>
      <c r="D6" s="1">
        <v>4190</v>
      </c>
      <c r="E6" s="1">
        <v>25</v>
      </c>
      <c r="F6" s="8">
        <v>0</v>
      </c>
      <c r="G6" s="10"/>
      <c r="H6" s="12" t="s">
        <v>8</v>
      </c>
      <c r="I6" s="13">
        <f>SUMIFS(C:C,F:F,"=1")</f>
        <v>4477</v>
      </c>
      <c r="J6" s="10"/>
      <c r="K6" s="10"/>
    </row>
    <row r="7" spans="2:11" x14ac:dyDescent="0.25">
      <c r="B7" s="5">
        <v>5</v>
      </c>
      <c r="C7" s="1">
        <v>881</v>
      </c>
      <c r="D7" s="1">
        <v>6644</v>
      </c>
      <c r="E7" s="1">
        <v>47</v>
      </c>
      <c r="F7" s="8">
        <v>0</v>
      </c>
      <c r="G7" s="10"/>
      <c r="H7" s="12" t="s">
        <v>9</v>
      </c>
      <c r="I7" s="14">
        <v>115609</v>
      </c>
      <c r="J7" s="10"/>
      <c r="K7" s="10"/>
    </row>
    <row r="8" spans="2:11" ht="15.75" thickBot="1" x14ac:dyDescent="0.3">
      <c r="B8" s="5">
        <v>6</v>
      </c>
      <c r="C8" s="1">
        <v>183</v>
      </c>
      <c r="D8" s="1">
        <v>3068</v>
      </c>
      <c r="E8" s="1">
        <v>15</v>
      </c>
      <c r="F8" s="8">
        <v>0</v>
      </c>
      <c r="G8" s="10"/>
      <c r="H8" s="15" t="s">
        <v>10</v>
      </c>
      <c r="I8" s="16">
        <f>SUMIFS(D:D,F:F,"=1")</f>
        <v>85470</v>
      </c>
      <c r="J8" s="10"/>
      <c r="K8" s="10"/>
    </row>
    <row r="9" spans="2:11" x14ac:dyDescent="0.25">
      <c r="B9" s="5">
        <v>7</v>
      </c>
      <c r="C9" s="1">
        <v>315</v>
      </c>
      <c r="D9" s="1">
        <v>6675</v>
      </c>
      <c r="E9" s="1">
        <v>40</v>
      </c>
      <c r="F9" s="8">
        <v>1</v>
      </c>
      <c r="G9" s="10"/>
      <c r="H9" s="10"/>
      <c r="I9" s="10"/>
      <c r="J9" s="10"/>
      <c r="K9" s="10"/>
    </row>
    <row r="10" spans="2:11" x14ac:dyDescent="0.25">
      <c r="B10" s="5">
        <v>8</v>
      </c>
      <c r="C10" s="1">
        <v>450</v>
      </c>
      <c r="D10" s="1">
        <v>5529</v>
      </c>
      <c r="E10" s="1">
        <v>27</v>
      </c>
      <c r="F10" s="8">
        <v>1</v>
      </c>
    </row>
    <row r="11" spans="2:11" x14ac:dyDescent="0.25">
      <c r="B11" s="5">
        <v>9</v>
      </c>
      <c r="C11" s="1">
        <v>111</v>
      </c>
      <c r="D11" s="1">
        <v>5905</v>
      </c>
      <c r="E11" s="1">
        <v>40</v>
      </c>
      <c r="F11" s="8">
        <v>1</v>
      </c>
    </row>
    <row r="12" spans="2:11" x14ac:dyDescent="0.25">
      <c r="B12" s="5">
        <v>10</v>
      </c>
      <c r="C12" s="1">
        <v>676</v>
      </c>
      <c r="D12" s="1">
        <v>7936</v>
      </c>
      <c r="E12" s="1">
        <v>50</v>
      </c>
      <c r="F12" s="8">
        <v>1</v>
      </c>
    </row>
    <row r="13" spans="2:11" x14ac:dyDescent="0.25">
      <c r="B13" s="5">
        <v>11</v>
      </c>
      <c r="C13" s="1">
        <v>255</v>
      </c>
      <c r="D13" s="1">
        <v>4307</v>
      </c>
      <c r="E13" s="1">
        <v>16</v>
      </c>
      <c r="F13" s="8">
        <v>1</v>
      </c>
    </row>
    <row r="14" spans="2:11" x14ac:dyDescent="0.25">
      <c r="B14" s="5">
        <v>12</v>
      </c>
      <c r="C14" s="1">
        <v>515</v>
      </c>
      <c r="D14" s="1">
        <v>8568</v>
      </c>
      <c r="E14" s="1">
        <v>23</v>
      </c>
      <c r="F14" s="8">
        <v>1</v>
      </c>
    </row>
    <row r="15" spans="2:11" x14ac:dyDescent="0.25">
      <c r="B15" s="5">
        <v>13</v>
      </c>
      <c r="C15" s="1">
        <v>545</v>
      </c>
      <c r="D15" s="1">
        <v>4498</v>
      </c>
      <c r="E15" s="1">
        <v>24</v>
      </c>
      <c r="F15" s="8">
        <v>0</v>
      </c>
    </row>
    <row r="16" spans="2:11" x14ac:dyDescent="0.25">
      <c r="B16" s="5">
        <v>14</v>
      </c>
      <c r="C16" s="1">
        <v>909</v>
      </c>
      <c r="D16" s="1">
        <v>8542</v>
      </c>
      <c r="E16" s="1">
        <v>32</v>
      </c>
      <c r="F16" s="8">
        <v>0</v>
      </c>
    </row>
    <row r="17" spans="2:6" x14ac:dyDescent="0.25">
      <c r="B17" s="5">
        <v>15</v>
      </c>
      <c r="C17" s="1">
        <v>178</v>
      </c>
      <c r="D17" s="1">
        <v>5084</v>
      </c>
      <c r="E17" s="1">
        <v>39</v>
      </c>
      <c r="F17" s="8">
        <v>1</v>
      </c>
    </row>
    <row r="18" spans="2:6" x14ac:dyDescent="0.25">
      <c r="B18" s="5">
        <v>16</v>
      </c>
      <c r="C18" s="1">
        <v>410</v>
      </c>
      <c r="D18" s="1">
        <v>9620</v>
      </c>
      <c r="E18" s="1">
        <v>16</v>
      </c>
      <c r="F18" s="8">
        <v>1</v>
      </c>
    </row>
    <row r="19" spans="2:6" x14ac:dyDescent="0.25">
      <c r="B19" s="5">
        <v>17</v>
      </c>
      <c r="C19" s="1">
        <v>10</v>
      </c>
      <c r="D19" s="1">
        <v>1749</v>
      </c>
      <c r="E19" s="1">
        <v>32</v>
      </c>
      <c r="F19" s="8">
        <v>1</v>
      </c>
    </row>
    <row r="20" spans="2:6" x14ac:dyDescent="0.25">
      <c r="B20" s="5">
        <v>18</v>
      </c>
      <c r="C20" s="1">
        <v>57</v>
      </c>
      <c r="D20" s="1">
        <v>6638</v>
      </c>
      <c r="E20" s="1">
        <v>49</v>
      </c>
      <c r="F20" s="8">
        <v>1</v>
      </c>
    </row>
    <row r="21" spans="2:6" x14ac:dyDescent="0.25">
      <c r="B21" s="5">
        <v>19</v>
      </c>
      <c r="C21" s="1">
        <v>753</v>
      </c>
      <c r="D21" s="1">
        <v>9623</v>
      </c>
      <c r="E21" s="1">
        <v>20</v>
      </c>
      <c r="F21" s="8">
        <v>1</v>
      </c>
    </row>
    <row r="22" spans="2:6" ht="15.75" thickBot="1" x14ac:dyDescent="0.3">
      <c r="B22" s="6">
        <v>20</v>
      </c>
      <c r="C22" s="7">
        <v>924</v>
      </c>
      <c r="D22" s="7">
        <v>2061</v>
      </c>
      <c r="E22" s="7">
        <v>48</v>
      </c>
      <c r="F22" s="9">
        <v>0</v>
      </c>
    </row>
    <row r="23" spans="2:6" x14ac:dyDescent="0.25">
      <c r="B23" s="11"/>
      <c r="C23" s="11"/>
      <c r="D23" s="11"/>
      <c r="E23" s="11"/>
      <c r="F23" s="11"/>
    </row>
    <row r="24" spans="2:6" x14ac:dyDescent="0.25">
      <c r="B24" s="11"/>
      <c r="C24" s="11"/>
      <c r="D24" s="11"/>
      <c r="E24" s="11"/>
      <c r="F24" s="11"/>
    </row>
    <row r="25" spans="2:6" x14ac:dyDescent="0.25">
      <c r="B25" s="11"/>
      <c r="C25" s="11"/>
      <c r="D25" s="11"/>
      <c r="E25" s="11"/>
      <c r="F25" s="11"/>
    </row>
    <row r="26" spans="2:6" x14ac:dyDescent="0.25">
      <c r="B26" s="11"/>
      <c r="C26" s="11"/>
      <c r="D26" s="11"/>
      <c r="E26" s="11"/>
      <c r="F26" s="11"/>
    </row>
    <row r="27" spans="2:6" x14ac:dyDescent="0.25">
      <c r="B27" s="11"/>
      <c r="C27" s="11"/>
      <c r="D27" s="11"/>
      <c r="E27" s="11"/>
      <c r="F27" s="11"/>
    </row>
    <row r="28" spans="2:6" x14ac:dyDescent="0.25">
      <c r="B28" s="11"/>
      <c r="C28" s="11"/>
      <c r="D28" s="11"/>
      <c r="E28" s="11"/>
      <c r="F28" s="11"/>
    </row>
    <row r="29" spans="2:6" x14ac:dyDescent="0.25">
      <c r="B29" s="11"/>
      <c r="C29" s="11"/>
      <c r="D29" s="11"/>
      <c r="E29" s="11"/>
      <c r="F29" s="11"/>
    </row>
    <row r="30" spans="2:6" x14ac:dyDescent="0.25">
      <c r="B30" s="10"/>
      <c r="C30" s="10"/>
      <c r="D30" s="10"/>
      <c r="E30" s="10"/>
      <c r="F30" s="10"/>
    </row>
  </sheetData>
  <mergeCells count="1">
    <mergeCell ref="H2:I2"/>
  </mergeCells>
  <conditionalFormatting sqref="I4">
    <cfRule type="cellIs" dxfId="5" priority="9" stopIfTrue="1" operator="greaterThan">
      <formula>$I$3</formula>
    </cfRule>
    <cfRule type="cellIs" dxfId="4" priority="10" operator="lessThanOrEqual">
      <formula>$I$3</formula>
    </cfRule>
  </conditionalFormatting>
  <conditionalFormatting sqref="I8">
    <cfRule type="cellIs" dxfId="3" priority="5" operator="greaterThan">
      <formula>$I$7</formula>
    </cfRule>
    <cfRule type="cellIs" dxfId="2" priority="6" operator="lessThanOrEqual">
      <formula>$I$7</formula>
    </cfRule>
  </conditionalFormatting>
  <conditionalFormatting sqref="I6">
    <cfRule type="cellIs" dxfId="1" priority="1" operator="greaterThan">
      <formula>$I$5</formula>
    </cfRule>
    <cfRule type="cellIs" dxfId="0" priority="2" operator="lessThanOrEqual">
      <formula>$I$5</formula>
    </cfRule>
  </conditionalFormatting>
  <dataValidations count="1">
    <dataValidation type="list" allowBlank="1" showInputMessage="1" showErrorMessage="1" sqref="F3:F22" xr:uid="{18153B66-3C68-4F2B-B65C-A8625305DD6C}">
      <formula1>"0,1"</formula1>
    </dataValidation>
  </dataValidations>
  <printOptions horizontalCentered="1" verticalCentered="1"/>
  <pageMargins left="0.511811023622047" right="0.511811023622047" top="0.78740157480314998" bottom="0.78740157480314998" header="0.31496062992126" footer="0.31496062992126"/>
  <pageSetup paperSize="9" orientation="portrait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ltrar_itens">
                <anchor>
                  <from>
                    <xdr:col>1</xdr:col>
                    <xdr:colOff>38100</xdr:colOff>
                    <xdr:row>23</xdr:row>
                    <xdr:rowOff>161925</xdr:rowOff>
                  </from>
                  <to>
                    <xdr:col>2</xdr:col>
                    <xdr:colOff>371475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sfazer_filtro">
                <anchor>
                  <from>
                    <xdr:col>4</xdr:col>
                    <xdr:colOff>276225</xdr:colOff>
                    <xdr:row>23</xdr:row>
                    <xdr:rowOff>133350</xdr:rowOff>
                  </from>
                  <to>
                    <xdr:col>5</xdr:col>
                    <xdr:colOff>581025</xdr:colOff>
                    <xdr:row>27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1D4BC-F87C-46CE-866F-D36A3AF3199E}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38FF42-689A-4EA2-B3E2-547882BE8A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Planilha1</vt:lpstr>
      <vt:lpstr>Planilha2</vt:lpstr>
      <vt:lpstr>Planilha1!Area_de_impressao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Amaral</dc:creator>
  <cp:lastModifiedBy>Joscelino</cp:lastModifiedBy>
  <cp:lastPrinted>2020-05-13T13:55:01Z</cp:lastPrinted>
  <dcterms:created xsi:type="dcterms:W3CDTF">2019-04-20T00:14:13Z</dcterms:created>
  <dcterms:modified xsi:type="dcterms:W3CDTF">2020-05-17T15:28:51Z</dcterms:modified>
</cp:coreProperties>
</file>