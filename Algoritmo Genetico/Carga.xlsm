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odelos Excel\Algoritmo Genetico\"/>
    </mc:Choice>
  </mc:AlternateContent>
  <xr:revisionPtr revIDLastSave="0" documentId="13_ncr:1_{A18BD006-7036-45B7-8CE6-7B32ABE925E7}" xr6:coauthVersionLast="45" xr6:coauthVersionMax="45" xr10:uidLastSave="{00000000-0000-0000-0000-000000000000}"/>
  <bookViews>
    <workbookView xWindow="28680" yWindow="-120" windowWidth="24240" windowHeight="13140" xr2:uid="{9EDA648A-9CF9-4DD8-BA7E-1990A9D63003}"/>
  </bookViews>
  <sheets>
    <sheet name="Planilha1" sheetId="1" r:id="rId1"/>
  </sheets>
  <definedNames>
    <definedName name="_xlnm._FilterDatabase" localSheetId="0" hidden="1">Planilha1!$B$2:$F$22</definedName>
    <definedName name="_xlnm.Print_Area" localSheetId="0">Planilha1!$B$2:$I$22</definedName>
    <definedName name="solver_adj" localSheetId="0" hidden="1">Planilha1!$F$3:$F$22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Planilha1!$F$3:$F$22</definedName>
    <definedName name="solver_lhs2" localSheetId="0" hidden="1">Planilha1!$I$4</definedName>
    <definedName name="solver_lhs3" localSheetId="0" hidden="1">Planilha1!$I$6</definedName>
    <definedName name="solver_lhs4" localSheetId="0" hidden="1">Planilha1!$I$8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Planilha1!$I$8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hs1" localSheetId="0" hidden="1">binário</definedName>
    <definedName name="solver_rhs2" localSheetId="0" hidden="1">Planilha1!$I$3</definedName>
    <definedName name="solver_rhs3" localSheetId="0" hidden="1">Planilha1!$I$5</definedName>
    <definedName name="solver_rhs4" localSheetId="0" hidden="1">Planilha1!$I$6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" l="1"/>
  <c r="I8" i="1"/>
  <c r="I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37CA62-B1F5-45FD-85C5-CF26D2EADF25}" keepAlive="1" name="Consulta - Itens" description="Conexão com a consulta 'Itens' na pasta de trabalho." type="5" refreshedVersion="6" background="1">
    <dbPr connection="Provider=Microsoft.Mashup.OleDb.1;Data Source=$Workbook$;Location=Itens;Extended Properties=&quot;&quot;" command="SELECT * FROM [Itens]"/>
  </connection>
</connections>
</file>

<file path=xl/sharedStrings.xml><?xml version="1.0" encoding="utf-8"?>
<sst xmlns="http://schemas.openxmlformats.org/spreadsheetml/2006/main" count="11" uniqueCount="11">
  <si>
    <t>ID</t>
  </si>
  <si>
    <t>PESO</t>
  </si>
  <si>
    <t>VALOR</t>
  </si>
  <si>
    <t>VOLUME</t>
  </si>
  <si>
    <t>Incluir</t>
  </si>
  <si>
    <t>Volume Maximo</t>
  </si>
  <si>
    <t>Volume Atual</t>
  </si>
  <si>
    <t>Peso Maximo</t>
  </si>
  <si>
    <t>Peso Atual</t>
  </si>
  <si>
    <t>Valor Maximo</t>
  </si>
  <si>
    <t>Valor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</si>
</sst>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0" xfId="0" applyFill="1"/>
  </cellXfs>
  <cellStyles count="1">
    <cellStyle name="Normal" xfId="0" builtinId="0"/>
  </cellStyles>
  <dxfs count="6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4</xdr:row>
          <xdr:rowOff>47625</xdr:rowOff>
        </xdr:from>
        <xdr:to>
          <xdr:col>0</xdr:col>
          <xdr:colOff>1085850</xdr:colOff>
          <xdr:row>7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3A12CF6-2A8F-4270-9DDB-F74D1C231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Selecionar itens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161926</xdr:colOff>
          <xdr:row>10</xdr:row>
          <xdr:rowOff>28575</xdr:rowOff>
        </xdr:from>
        <xdr:to>
          <xdr:col>0</xdr:col>
          <xdr:colOff>1076326</xdr:colOff>
          <xdr:row>13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6CA3DB2-671B-4A53-8DD6-01A4E4234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Desfazer selecao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3C61-0136-428D-9781-D1C37261291C}">
  <sheetPr codeName="Planilha1"/>
  <dimension ref="A1:I22"/>
  <sheetViews>
    <sheetView showGridLines="0" tabSelected="1" workbookViewId="0">
      <selection activeCell="G22" sqref="G22"/>
    </sheetView>
  </sheetViews>
  <sheetFormatPr defaultRowHeight="15" x14ac:dyDescent="0.25"/>
  <cols>
    <col min="1" max="1" width="20" customWidth="1"/>
    <col min="8" max="8" width="15.7109375" bestFit="1" customWidth="1"/>
  </cols>
  <sheetData>
    <row r="1" spans="1:9" ht="15.75" thickBot="1" x14ac:dyDescent="0.3"/>
    <row r="2" spans="1:9" x14ac:dyDescent="0.25">
      <c r="A2" s="12"/>
      <c r="B2" s="2" t="s">
        <v>0</v>
      </c>
      <c r="C2" s="3" t="s">
        <v>1</v>
      </c>
      <c r="D2" s="3" t="s">
        <v>2</v>
      </c>
      <c r="E2" s="3" t="s">
        <v>3</v>
      </c>
      <c r="F2" s="4" t="s">
        <v>4</v>
      </c>
      <c r="H2" s="10"/>
      <c r="I2" s="11"/>
    </row>
    <row r="3" spans="1:9" x14ac:dyDescent="0.25">
      <c r="A3" s="12"/>
      <c r="B3" s="5">
        <v>1</v>
      </c>
      <c r="C3" s="1">
        <v>342</v>
      </c>
      <c r="D3" s="1">
        <v>1136</v>
      </c>
      <c r="E3" s="1">
        <v>32</v>
      </c>
      <c r="F3" s="6">
        <v>0</v>
      </c>
      <c r="H3" s="5" t="s">
        <v>5</v>
      </c>
      <c r="I3" s="6">
        <v>350</v>
      </c>
    </row>
    <row r="4" spans="1:9" x14ac:dyDescent="0.25">
      <c r="A4" s="12"/>
      <c r="B4" s="5">
        <v>2</v>
      </c>
      <c r="C4" s="1">
        <v>305</v>
      </c>
      <c r="D4" s="1">
        <v>5349</v>
      </c>
      <c r="E4" s="1">
        <v>48</v>
      </c>
      <c r="F4" s="6">
        <v>0</v>
      </c>
      <c r="H4" s="5" t="s">
        <v>6</v>
      </c>
      <c r="I4" s="6">
        <f>SUMIFS(E:E,F:F,"=1")</f>
        <v>343</v>
      </c>
    </row>
    <row r="5" spans="1:9" x14ac:dyDescent="0.25">
      <c r="A5" s="12"/>
      <c r="B5" s="5">
        <v>3</v>
      </c>
      <c r="C5" s="1">
        <v>442</v>
      </c>
      <c r="D5" s="1">
        <v>8487</v>
      </c>
      <c r="E5" s="1">
        <v>26</v>
      </c>
      <c r="F5" s="6">
        <v>1</v>
      </c>
      <c r="H5" s="5" t="s">
        <v>7</v>
      </c>
      <c r="I5" s="6">
        <v>5000</v>
      </c>
    </row>
    <row r="6" spans="1:9" x14ac:dyDescent="0.25">
      <c r="A6" s="12"/>
      <c r="B6" s="5">
        <v>4</v>
      </c>
      <c r="C6" s="1">
        <v>944</v>
      </c>
      <c r="D6" s="1">
        <v>4190</v>
      </c>
      <c r="E6" s="1">
        <v>25</v>
      </c>
      <c r="F6" s="6">
        <v>0</v>
      </c>
      <c r="H6" s="5" t="s">
        <v>8</v>
      </c>
      <c r="I6" s="6">
        <f>SUMIFS(C:C,F:F,"=1")</f>
        <v>4578</v>
      </c>
    </row>
    <row r="7" spans="1:9" x14ac:dyDescent="0.25">
      <c r="A7" s="12"/>
      <c r="B7" s="5">
        <v>5</v>
      </c>
      <c r="C7" s="1">
        <v>881</v>
      </c>
      <c r="D7" s="1">
        <v>6644</v>
      </c>
      <c r="E7" s="1">
        <v>47</v>
      </c>
      <c r="F7" s="6">
        <v>0</v>
      </c>
      <c r="H7" s="5" t="s">
        <v>9</v>
      </c>
      <c r="I7" s="6">
        <v>115609</v>
      </c>
    </row>
    <row r="8" spans="1:9" ht="15.75" thickBot="1" x14ac:dyDescent="0.3">
      <c r="A8" s="12"/>
      <c r="B8" s="5">
        <v>6</v>
      </c>
      <c r="C8" s="1">
        <v>183</v>
      </c>
      <c r="D8" s="1">
        <v>3068</v>
      </c>
      <c r="E8" s="1">
        <v>15</v>
      </c>
      <c r="F8" s="6">
        <v>1</v>
      </c>
      <c r="H8" s="7" t="s">
        <v>10</v>
      </c>
      <c r="I8" s="9">
        <f>SUMIFS(D:D,F:F,"=1")</f>
        <v>82046</v>
      </c>
    </row>
    <row r="9" spans="1:9" x14ac:dyDescent="0.25">
      <c r="A9" s="12"/>
      <c r="B9" s="5">
        <v>7</v>
      </c>
      <c r="C9" s="1">
        <v>315</v>
      </c>
      <c r="D9" s="1">
        <v>6675</v>
      </c>
      <c r="E9" s="1">
        <v>40</v>
      </c>
      <c r="F9" s="6">
        <v>1</v>
      </c>
    </row>
    <row r="10" spans="1:9" x14ac:dyDescent="0.25">
      <c r="A10" s="12"/>
      <c r="B10" s="5">
        <v>8</v>
      </c>
      <c r="C10" s="1">
        <v>450</v>
      </c>
      <c r="D10" s="1">
        <v>5529</v>
      </c>
      <c r="E10" s="1">
        <v>27</v>
      </c>
      <c r="F10" s="6">
        <v>1</v>
      </c>
    </row>
    <row r="11" spans="1:9" x14ac:dyDescent="0.25">
      <c r="A11" s="12"/>
      <c r="B11" s="5">
        <v>9</v>
      </c>
      <c r="C11" s="1">
        <v>111</v>
      </c>
      <c r="D11" s="1">
        <v>5905</v>
      </c>
      <c r="E11" s="1">
        <v>40</v>
      </c>
      <c r="F11" s="6">
        <v>1</v>
      </c>
    </row>
    <row r="12" spans="1:9" x14ac:dyDescent="0.25">
      <c r="A12" s="12"/>
      <c r="B12" s="5">
        <v>10</v>
      </c>
      <c r="C12" s="1">
        <v>676</v>
      </c>
      <c r="D12" s="1">
        <v>7936</v>
      </c>
      <c r="E12" s="1">
        <v>50</v>
      </c>
      <c r="F12" s="6">
        <v>0</v>
      </c>
    </row>
    <row r="13" spans="1:9" x14ac:dyDescent="0.25">
      <c r="A13" s="12"/>
      <c r="B13" s="5">
        <v>11</v>
      </c>
      <c r="C13" s="1">
        <v>255</v>
      </c>
      <c r="D13" s="1">
        <v>4307</v>
      </c>
      <c r="E13" s="1">
        <v>16</v>
      </c>
      <c r="F13" s="6">
        <v>1</v>
      </c>
    </row>
    <row r="14" spans="1:9" x14ac:dyDescent="0.25">
      <c r="A14" s="12"/>
      <c r="B14" s="5">
        <v>12</v>
      </c>
      <c r="C14" s="1">
        <v>515</v>
      </c>
      <c r="D14" s="1">
        <v>8568</v>
      </c>
      <c r="E14" s="1">
        <v>23</v>
      </c>
      <c r="F14" s="6">
        <v>1</v>
      </c>
    </row>
    <row r="15" spans="1:9" x14ac:dyDescent="0.25">
      <c r="A15" s="12"/>
      <c r="B15" s="5">
        <v>13</v>
      </c>
      <c r="C15" s="1">
        <v>545</v>
      </c>
      <c r="D15" s="1">
        <v>4498</v>
      </c>
      <c r="E15" s="1">
        <v>24</v>
      </c>
      <c r="F15" s="6">
        <v>0</v>
      </c>
    </row>
    <row r="16" spans="1:9" x14ac:dyDescent="0.25">
      <c r="A16" s="12"/>
      <c r="B16" s="5">
        <v>14</v>
      </c>
      <c r="C16" s="1">
        <v>909</v>
      </c>
      <c r="D16" s="1">
        <v>8542</v>
      </c>
      <c r="E16" s="1">
        <v>32</v>
      </c>
      <c r="F16" s="6">
        <v>1</v>
      </c>
    </row>
    <row r="17" spans="1:6" x14ac:dyDescent="0.25">
      <c r="A17" s="12"/>
      <c r="B17" s="5">
        <v>15</v>
      </c>
      <c r="C17" s="1">
        <v>178</v>
      </c>
      <c r="D17" s="1">
        <v>5084</v>
      </c>
      <c r="E17" s="1">
        <v>39</v>
      </c>
      <c r="F17" s="6">
        <v>1</v>
      </c>
    </row>
    <row r="18" spans="1:6" x14ac:dyDescent="0.25">
      <c r="A18" s="12"/>
      <c r="B18" s="5">
        <v>16</v>
      </c>
      <c r="C18" s="1">
        <v>410</v>
      </c>
      <c r="D18" s="1">
        <v>9620</v>
      </c>
      <c r="E18" s="1">
        <v>16</v>
      </c>
      <c r="F18" s="6">
        <v>1</v>
      </c>
    </row>
    <row r="19" spans="1:6" x14ac:dyDescent="0.25">
      <c r="A19" s="12"/>
      <c r="B19" s="5">
        <v>17</v>
      </c>
      <c r="C19" s="1">
        <v>10</v>
      </c>
      <c r="D19" s="1">
        <v>1749</v>
      </c>
      <c r="E19" s="1">
        <v>32</v>
      </c>
      <c r="F19" s="6">
        <v>0</v>
      </c>
    </row>
    <row r="20" spans="1:6" x14ac:dyDescent="0.25">
      <c r="A20" s="12"/>
      <c r="B20" s="5">
        <v>18</v>
      </c>
      <c r="C20" s="1">
        <v>57</v>
      </c>
      <c r="D20" s="1">
        <v>6638</v>
      </c>
      <c r="E20" s="1">
        <v>49</v>
      </c>
      <c r="F20" s="6">
        <v>1</v>
      </c>
    </row>
    <row r="21" spans="1:6" x14ac:dyDescent="0.25">
      <c r="A21" s="12"/>
      <c r="B21" s="5">
        <v>19</v>
      </c>
      <c r="C21" s="1">
        <v>753</v>
      </c>
      <c r="D21" s="1">
        <v>9623</v>
      </c>
      <c r="E21" s="1">
        <v>20</v>
      </c>
      <c r="F21" s="6">
        <v>1</v>
      </c>
    </row>
    <row r="22" spans="1:6" ht="15.75" thickBot="1" x14ac:dyDescent="0.3">
      <c r="A22" s="12"/>
      <c r="B22" s="7">
        <v>20</v>
      </c>
      <c r="C22" s="8">
        <v>924</v>
      </c>
      <c r="D22" s="8">
        <v>2061</v>
      </c>
      <c r="E22" s="8">
        <v>48</v>
      </c>
      <c r="F22" s="9">
        <v>0</v>
      </c>
    </row>
  </sheetData>
  <mergeCells count="1">
    <mergeCell ref="H2:I2"/>
  </mergeCells>
  <conditionalFormatting sqref="I4">
    <cfRule type="cellIs" dxfId="5" priority="9" stopIfTrue="1" operator="greaterThan">
      <formula>$I$3</formula>
    </cfRule>
    <cfRule type="cellIs" dxfId="4" priority="10" operator="lessThanOrEqual">
      <formula>$I$3</formula>
    </cfRule>
  </conditionalFormatting>
  <conditionalFormatting sqref="I8">
    <cfRule type="cellIs" dxfId="3" priority="5" operator="greaterThan">
      <formula>$I$7</formula>
    </cfRule>
    <cfRule type="cellIs" dxfId="2" priority="6" operator="lessThanOrEqual">
      <formula>$I$7</formula>
    </cfRule>
  </conditionalFormatting>
  <conditionalFormatting sqref="I6">
    <cfRule type="cellIs" dxfId="1" priority="1" operator="greaterThan">
      <formula>$I$5</formula>
    </cfRule>
    <cfRule type="cellIs" dxfId="0" priority="2" operator="lessThanOrEqual">
      <formula>$I$5</formula>
    </cfRule>
  </conditionalFormatting>
  <printOptions horizontalCentered="1" verticalCentered="1"/>
  <pageMargins left="0.511811023622047" right="0.511811023622047" top="0.78740157480314998" bottom="0.78740157480314998" header="0.31496062992126" footer="0.31496062992126"/>
  <pageSetup paperSize="9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lecao">
                <anchor>
                  <from>
                    <xdr:col>0</xdr:col>
                    <xdr:colOff>142875</xdr:colOff>
                    <xdr:row>4</xdr:row>
                    <xdr:rowOff>47625</xdr:rowOff>
                  </from>
                  <to>
                    <xdr:col>0</xdr:col>
                    <xdr:colOff>1085850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sfazer_selecao">
                <anchor>
                  <from>
                    <xdr:col>0</xdr:col>
                    <xdr:colOff>161925</xdr:colOff>
                    <xdr:row>10</xdr:row>
                    <xdr:rowOff>28575</xdr:rowOff>
                  </from>
                  <to>
                    <xdr:col>0</xdr:col>
                    <xdr:colOff>1076325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8FF42-689A-4EA2-B3E2-547882BE8A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Amaral</dc:creator>
  <cp:lastModifiedBy>Joscelino</cp:lastModifiedBy>
  <cp:lastPrinted>2020-05-13T13:55:01Z</cp:lastPrinted>
  <dcterms:created xsi:type="dcterms:W3CDTF">2019-04-20T00:14:13Z</dcterms:created>
  <dcterms:modified xsi:type="dcterms:W3CDTF">2020-05-13T14:14:28Z</dcterms:modified>
</cp:coreProperties>
</file>